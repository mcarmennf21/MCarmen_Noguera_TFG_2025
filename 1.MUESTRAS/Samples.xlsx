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4" i="1" l="1"/>
  <c r="G74" i="1"/>
  <c r="H74" i="1"/>
  <c r="I74" i="1"/>
</calcChain>
</file>

<file path=xl/sharedStrings.xml><?xml version="1.0" encoding="utf-8"?>
<sst xmlns="http://schemas.openxmlformats.org/spreadsheetml/2006/main" count="321" uniqueCount="122">
  <si>
    <t>SRP189310</t>
  </si>
  <si>
    <t>SRP098796</t>
  </si>
  <si>
    <t>SRP415429</t>
  </si>
  <si>
    <t>SRP104685</t>
  </si>
  <si>
    <t>SRP486063</t>
  </si>
  <si>
    <t>SRP188350</t>
  </si>
  <si>
    <t>SRP080772</t>
  </si>
  <si>
    <t>SRP201460</t>
  </si>
  <si>
    <t>SRP350800</t>
  </si>
  <si>
    <t>SRP014967</t>
  </si>
  <si>
    <t>SRP010770</t>
  </si>
  <si>
    <t>SRX5567281</t>
  </si>
  <si>
    <t>SRX5567280</t>
  </si>
  <si>
    <t>SRX5567279</t>
  </si>
  <si>
    <t>SRX2536535</t>
  </si>
  <si>
    <t>SRX2536534</t>
  </si>
  <si>
    <t>SRX2536533</t>
  </si>
  <si>
    <t>SRX18904998</t>
  </si>
  <si>
    <t>SRX18904997</t>
  </si>
  <si>
    <t>SRX18904996</t>
  </si>
  <si>
    <t>SRX2751241</t>
  </si>
  <si>
    <t>SRX2751240</t>
  </si>
  <si>
    <t>SRX2751239</t>
  </si>
  <si>
    <t>SRX23398522</t>
  </si>
  <si>
    <t>SRX23398521</t>
  </si>
  <si>
    <t>SRX23398520</t>
  </si>
  <si>
    <t>SRX5516629</t>
  </si>
  <si>
    <t>SRX5516628</t>
  </si>
  <si>
    <t>SRX5516627</t>
  </si>
  <si>
    <t>SRX1993703</t>
  </si>
  <si>
    <t>SRX1993702</t>
  </si>
  <si>
    <t>SRX1993701</t>
  </si>
  <si>
    <t>SRX6071724</t>
  </si>
  <si>
    <t>SRX6071719</t>
  </si>
  <si>
    <t>SRX6071718</t>
  </si>
  <si>
    <t>SRX13410560</t>
  </si>
  <si>
    <t>SRX13410559</t>
  </si>
  <si>
    <t>SRX13410558</t>
  </si>
  <si>
    <t>SRX180055</t>
  </si>
  <si>
    <t>SRX180054</t>
  </si>
  <si>
    <t>SRX180053</t>
  </si>
  <si>
    <t xml:space="preserve">  SRX316989</t>
  </si>
  <si>
    <t xml:space="preserve">  SRX316988</t>
  </si>
  <si>
    <t>SRX316987</t>
  </si>
  <si>
    <t>UR mapeadas</t>
  </si>
  <si>
    <t>Rc mapeadas</t>
  </si>
  <si>
    <t>Lecturas en crudo</t>
  </si>
  <si>
    <t>Muestra</t>
  </si>
  <si>
    <t>TOTAL</t>
  </si>
  <si>
    <t>SRX13507592</t>
  </si>
  <si>
    <t>SRX13507591</t>
  </si>
  <si>
    <t>SRX13507590</t>
  </si>
  <si>
    <t>SRX2916100</t>
  </si>
  <si>
    <t>SRX2916099</t>
  </si>
  <si>
    <t>SRX2916098</t>
  </si>
  <si>
    <t>SRX20032333</t>
  </si>
  <si>
    <t>SRX20032328</t>
  </si>
  <si>
    <t>SRX20032327</t>
  </si>
  <si>
    <t>SRX1868688</t>
  </si>
  <si>
    <t>SRX1868687</t>
  </si>
  <si>
    <t>SRX1868686</t>
  </si>
  <si>
    <t>SRX7371625</t>
  </si>
  <si>
    <t>SRX7371624</t>
  </si>
  <si>
    <t>SRX7371623</t>
  </si>
  <si>
    <t>SRX7754988</t>
  </si>
  <si>
    <t>SRX7754987</t>
  </si>
  <si>
    <t>SRX7754986</t>
  </si>
  <si>
    <t>SRX3644316</t>
  </si>
  <si>
    <t>SRX3644315</t>
  </si>
  <si>
    <t>SRX3644312</t>
  </si>
  <si>
    <t>SRX3540794</t>
  </si>
  <si>
    <t>SRX3540793</t>
  </si>
  <si>
    <t>SRX3540792</t>
  </si>
  <si>
    <t>SRX2030876</t>
  </si>
  <si>
    <t>SRX2030875</t>
  </si>
  <si>
    <t>SRX2030874</t>
  </si>
  <si>
    <t>SRX19147841</t>
  </si>
  <si>
    <t>SRX19147840</t>
  </si>
  <si>
    <t>SRX19147839</t>
  </si>
  <si>
    <t>SRX245491</t>
  </si>
  <si>
    <t>SRX245479</t>
  </si>
  <si>
    <t>SRX245478</t>
  </si>
  <si>
    <t>SRX1134776</t>
  </si>
  <si>
    <t>SRX1134775</t>
  </si>
  <si>
    <t>SRX1134774</t>
  </si>
  <si>
    <t>SRX8615323</t>
  </si>
  <si>
    <t>SRX8615322</t>
  </si>
  <si>
    <t>SRX8615321</t>
  </si>
  <si>
    <t>Experimento</t>
  </si>
  <si>
    <t>SRP268778</t>
  </si>
  <si>
    <t>SRP062104</t>
  </si>
  <si>
    <t>SRP018840</t>
  </si>
  <si>
    <t>SRP418841</t>
  </si>
  <si>
    <t>SRP082301</t>
  </si>
  <si>
    <t>SRP128473</t>
  </si>
  <si>
    <t>SRP132084</t>
  </si>
  <si>
    <t>SRP250071</t>
  </si>
  <si>
    <t>SRP237668</t>
  </si>
  <si>
    <t>SRP076861</t>
  </si>
  <si>
    <t>SRP433690</t>
  </si>
  <si>
    <t>SRP078043</t>
  </si>
  <si>
    <t>SRP352480</t>
  </si>
  <si>
    <t>Tejido</t>
  </si>
  <si>
    <t>Condición experimental</t>
  </si>
  <si>
    <t>Protocolo de secuenciación</t>
  </si>
  <si>
    <t>Flores</t>
  </si>
  <si>
    <t>Tipo silvestre</t>
  </si>
  <si>
    <t>ILLUMINA</t>
  </si>
  <si>
    <t>Infección TuMV</t>
  </si>
  <si>
    <t>Hojas</t>
  </si>
  <si>
    <t>Infección B.cinerea</t>
  </si>
  <si>
    <t>Radiación UV</t>
  </si>
  <si>
    <t>Infección S.sclerotiorum</t>
  </si>
  <si>
    <t>Infección TCV</t>
  </si>
  <si>
    <t>Raíces</t>
  </si>
  <si>
    <t>ION TORRENT</t>
  </si>
  <si>
    <t>Infección T.atroviride</t>
  </si>
  <si>
    <t>Estrés salino</t>
  </si>
  <si>
    <t>Polen</t>
  </si>
  <si>
    <t>Bioo</t>
  </si>
  <si>
    <t>Semillas</t>
  </si>
  <si>
    <t>Meristemo apical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</si>
</sst>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1" fontId="0" fillId="0" borderId="0" xfId="0" applyNumberFormat="1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1" fontId="0" fillId="0" borderId="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Border="1"/>
    <xf numFmtId="11" fontId="0" fillId="0" borderId="0" xfId="0" applyNumberFormat="1" applyBorder="1"/>
    <xf numFmtId="0" fontId="0" fillId="0" borderId="0" xfId="0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25"/>
  <sheetViews>
    <sheetView tabSelected="1" topLeftCell="A66" workbookViewId="0">
      <selection activeCell="D68" sqref="D68:F73"/>
    </sheetView>
  </sheetViews>
  <sheetFormatPr baseColWidth="10" defaultColWidth="8.7265625" defaultRowHeight="14.5" x14ac:dyDescent="0.35"/>
  <cols>
    <col min="2" max="2" width="11.54296875" bestFit="1" customWidth="1"/>
    <col min="3" max="4" width="13.453125" customWidth="1"/>
    <col min="5" max="5" width="14.6328125" customWidth="1"/>
    <col min="6" max="6" width="13.453125" customWidth="1"/>
    <col min="7" max="7" width="15.6328125" bestFit="1" customWidth="1"/>
    <col min="8" max="8" width="11.81640625" bestFit="1" customWidth="1"/>
    <col min="9" max="9" width="12.26953125" bestFit="1" customWidth="1"/>
    <col min="10" max="10" width="26.36328125" bestFit="1" customWidth="1"/>
    <col min="11" max="11" width="26.81640625" bestFit="1" customWidth="1"/>
  </cols>
  <sheetData>
    <row r="1" spans="2:11" ht="27" customHeight="1" x14ac:dyDescent="0.35">
      <c r="B1" s="5" t="s">
        <v>88</v>
      </c>
      <c r="C1" s="5" t="s">
        <v>47</v>
      </c>
      <c r="D1" s="5" t="s">
        <v>102</v>
      </c>
      <c r="E1" s="9" t="s">
        <v>103</v>
      </c>
      <c r="F1" s="9" t="s">
        <v>104</v>
      </c>
      <c r="G1" s="5" t="s">
        <v>46</v>
      </c>
      <c r="H1" s="5" t="s">
        <v>45</v>
      </c>
      <c r="I1" s="5" t="s">
        <v>44</v>
      </c>
      <c r="J1" s="5"/>
      <c r="K1" s="5"/>
    </row>
    <row r="2" spans="2:11" ht="25" customHeight="1" x14ac:dyDescent="0.35">
      <c r="B2" s="12" t="s">
        <v>10</v>
      </c>
      <c r="C2" s="7" t="s">
        <v>43</v>
      </c>
      <c r="D2" s="7" t="s">
        <v>105</v>
      </c>
      <c r="E2" s="7" t="s">
        <v>106</v>
      </c>
      <c r="F2" s="7" t="s">
        <v>107</v>
      </c>
      <c r="G2" s="8">
        <v>9932809</v>
      </c>
      <c r="H2" s="8">
        <v>816390</v>
      </c>
      <c r="I2" s="8">
        <v>245502</v>
      </c>
      <c r="J2" s="4"/>
      <c r="K2" s="4"/>
    </row>
    <row r="3" spans="2:11" ht="25" customHeight="1" x14ac:dyDescent="0.35">
      <c r="B3" s="12"/>
      <c r="C3" s="7" t="s">
        <v>42</v>
      </c>
      <c r="D3" s="7" t="s">
        <v>105</v>
      </c>
      <c r="E3" s="7" t="s">
        <v>106</v>
      </c>
      <c r="F3" s="7" t="s">
        <v>107</v>
      </c>
      <c r="G3" s="8">
        <v>25032623</v>
      </c>
      <c r="H3" s="8">
        <v>6756173</v>
      </c>
      <c r="I3" s="8">
        <v>1099679</v>
      </c>
      <c r="J3" s="4"/>
      <c r="K3" s="4"/>
    </row>
    <row r="4" spans="2:11" ht="25" customHeight="1" x14ac:dyDescent="0.35">
      <c r="B4" s="12"/>
      <c r="C4" s="7" t="s">
        <v>41</v>
      </c>
      <c r="D4" s="7" t="s">
        <v>105</v>
      </c>
      <c r="E4" s="7" t="s">
        <v>106</v>
      </c>
      <c r="F4" s="7" t="s">
        <v>107</v>
      </c>
      <c r="G4" s="8">
        <v>9767205</v>
      </c>
      <c r="H4" s="8">
        <v>1650591</v>
      </c>
      <c r="I4" s="8">
        <v>399903</v>
      </c>
      <c r="J4" s="4"/>
      <c r="K4" s="4"/>
    </row>
    <row r="5" spans="2:11" ht="25" customHeight="1" x14ac:dyDescent="0.35">
      <c r="B5" s="12" t="s">
        <v>89</v>
      </c>
      <c r="C5" s="2" t="s">
        <v>87</v>
      </c>
      <c r="D5" s="7" t="s">
        <v>105</v>
      </c>
      <c r="E5" s="7" t="s">
        <v>106</v>
      </c>
      <c r="F5" s="7" t="s">
        <v>107</v>
      </c>
      <c r="G5" s="1">
        <v>16530157</v>
      </c>
      <c r="H5" s="1">
        <v>10341079</v>
      </c>
      <c r="I5" s="1">
        <v>4024211</v>
      </c>
      <c r="J5" s="4"/>
      <c r="K5" s="4"/>
    </row>
    <row r="6" spans="2:11" ht="25" customHeight="1" x14ac:dyDescent="0.35">
      <c r="B6" s="12"/>
      <c r="C6" s="2" t="s">
        <v>86</v>
      </c>
      <c r="D6" s="7" t="s">
        <v>105</v>
      </c>
      <c r="E6" s="7" t="s">
        <v>106</v>
      </c>
      <c r="F6" s="7" t="s">
        <v>107</v>
      </c>
      <c r="G6" s="1">
        <v>7343623</v>
      </c>
      <c r="H6" s="1">
        <v>2450453</v>
      </c>
      <c r="I6" s="1">
        <v>22268</v>
      </c>
      <c r="J6" s="4"/>
      <c r="K6" s="4"/>
    </row>
    <row r="7" spans="2:11" ht="25" customHeight="1" x14ac:dyDescent="0.35">
      <c r="B7" s="12"/>
      <c r="C7" s="2" t="s">
        <v>85</v>
      </c>
      <c r="D7" s="7" t="s">
        <v>105</v>
      </c>
      <c r="E7" s="7" t="s">
        <v>106</v>
      </c>
      <c r="F7" s="7" t="s">
        <v>107</v>
      </c>
      <c r="G7" s="1">
        <v>14500663</v>
      </c>
      <c r="H7" s="1">
        <v>9567847</v>
      </c>
      <c r="I7" s="1">
        <v>1081022</v>
      </c>
      <c r="J7" s="4"/>
      <c r="K7" s="4"/>
    </row>
    <row r="8" spans="2:11" ht="25" customHeight="1" x14ac:dyDescent="0.35">
      <c r="B8" s="12" t="s">
        <v>90</v>
      </c>
      <c r="C8" s="2" t="s">
        <v>84</v>
      </c>
      <c r="D8" s="7" t="s">
        <v>105</v>
      </c>
      <c r="E8" s="7" t="s">
        <v>106</v>
      </c>
      <c r="F8" s="7" t="s">
        <v>107</v>
      </c>
      <c r="G8" s="1">
        <v>18690676</v>
      </c>
      <c r="H8" s="1">
        <v>10855397</v>
      </c>
      <c r="I8" s="1">
        <v>2016886</v>
      </c>
      <c r="J8" s="4"/>
      <c r="K8" s="4"/>
    </row>
    <row r="9" spans="2:11" ht="25" customHeight="1" x14ac:dyDescent="0.35">
      <c r="B9" s="12"/>
      <c r="C9" s="2" t="s">
        <v>83</v>
      </c>
      <c r="D9" s="7" t="s">
        <v>105</v>
      </c>
      <c r="E9" s="7" t="s">
        <v>106</v>
      </c>
      <c r="F9" s="7" t="s">
        <v>107</v>
      </c>
      <c r="G9" s="1">
        <v>18690937</v>
      </c>
      <c r="H9" s="1">
        <v>11024002</v>
      </c>
      <c r="I9" s="1">
        <v>2439922</v>
      </c>
      <c r="J9" s="4"/>
      <c r="K9" s="4"/>
    </row>
    <row r="10" spans="2:11" ht="25" customHeight="1" x14ac:dyDescent="0.35">
      <c r="B10" s="12"/>
      <c r="C10" s="2" t="s">
        <v>82</v>
      </c>
      <c r="D10" s="7" t="s">
        <v>105</v>
      </c>
      <c r="E10" s="7" t="s">
        <v>106</v>
      </c>
      <c r="F10" s="7" t="s">
        <v>107</v>
      </c>
      <c r="G10" s="1">
        <v>16350822</v>
      </c>
      <c r="H10" s="1">
        <v>10310110</v>
      </c>
      <c r="I10" s="1">
        <v>2629667</v>
      </c>
      <c r="J10" s="4"/>
      <c r="K10" s="4"/>
    </row>
    <row r="11" spans="2:11" ht="25" customHeight="1" x14ac:dyDescent="0.35">
      <c r="B11" s="12" t="s">
        <v>91</v>
      </c>
      <c r="C11" s="2" t="s">
        <v>81</v>
      </c>
      <c r="D11" s="7" t="s">
        <v>105</v>
      </c>
      <c r="E11" s="7" t="s">
        <v>106</v>
      </c>
      <c r="F11" s="7" t="s">
        <v>107</v>
      </c>
      <c r="G11" s="1">
        <v>7112605</v>
      </c>
      <c r="H11" s="1">
        <v>5553463</v>
      </c>
      <c r="I11" s="1">
        <v>1429796</v>
      </c>
      <c r="J11" s="4"/>
      <c r="K11" s="4"/>
    </row>
    <row r="12" spans="2:11" ht="25" customHeight="1" x14ac:dyDescent="0.35">
      <c r="B12" s="12"/>
      <c r="C12" s="2" t="s">
        <v>80</v>
      </c>
      <c r="D12" s="7" t="s">
        <v>105</v>
      </c>
      <c r="E12" s="7" t="s">
        <v>106</v>
      </c>
      <c r="F12" s="7" t="s">
        <v>107</v>
      </c>
      <c r="G12" s="1">
        <v>3930669</v>
      </c>
      <c r="H12" s="1">
        <v>2971873</v>
      </c>
      <c r="I12" s="1">
        <v>88338</v>
      </c>
      <c r="J12" s="4"/>
      <c r="K12" s="4"/>
    </row>
    <row r="13" spans="2:11" ht="25" customHeight="1" x14ac:dyDescent="0.35">
      <c r="B13" s="12"/>
      <c r="C13" s="2" t="s">
        <v>79</v>
      </c>
      <c r="D13" s="7" t="s">
        <v>105</v>
      </c>
      <c r="E13" s="7" t="s">
        <v>106</v>
      </c>
      <c r="F13" s="7" t="s">
        <v>107</v>
      </c>
      <c r="G13" s="1">
        <v>12338943</v>
      </c>
      <c r="H13" s="1">
        <v>9955680</v>
      </c>
      <c r="I13" s="1">
        <v>1877109</v>
      </c>
      <c r="J13" s="4"/>
      <c r="K13" s="4"/>
    </row>
    <row r="14" spans="2:11" ht="25" customHeight="1" x14ac:dyDescent="0.35">
      <c r="B14" s="12" t="s">
        <v>92</v>
      </c>
      <c r="C14" s="2" t="s">
        <v>78</v>
      </c>
      <c r="D14" s="7" t="s">
        <v>105</v>
      </c>
      <c r="E14" s="7" t="s">
        <v>106</v>
      </c>
      <c r="F14" s="7" t="s">
        <v>107</v>
      </c>
      <c r="G14" s="1">
        <v>13271464</v>
      </c>
      <c r="H14" s="1">
        <v>6327227</v>
      </c>
      <c r="I14" s="1">
        <v>1873605</v>
      </c>
      <c r="J14" s="4"/>
      <c r="K14" s="4"/>
    </row>
    <row r="15" spans="2:11" ht="25" customHeight="1" x14ac:dyDescent="0.35">
      <c r="B15" s="12"/>
      <c r="C15" s="2" t="s">
        <v>77</v>
      </c>
      <c r="D15" s="7" t="s">
        <v>105</v>
      </c>
      <c r="E15" s="7" t="s">
        <v>106</v>
      </c>
      <c r="F15" s="7" t="s">
        <v>107</v>
      </c>
      <c r="G15" s="1">
        <v>12285707</v>
      </c>
      <c r="H15" s="1">
        <v>6013438</v>
      </c>
      <c r="I15" s="1">
        <v>1751826</v>
      </c>
      <c r="J15" s="4"/>
      <c r="K15" s="4"/>
    </row>
    <row r="16" spans="2:11" ht="25" customHeight="1" x14ac:dyDescent="0.35">
      <c r="B16" s="12"/>
      <c r="C16" s="2" t="s">
        <v>76</v>
      </c>
      <c r="D16" s="7" t="s">
        <v>105</v>
      </c>
      <c r="E16" s="7" t="s">
        <v>106</v>
      </c>
      <c r="F16" s="7" t="s">
        <v>107</v>
      </c>
      <c r="G16" s="1">
        <v>14269859</v>
      </c>
      <c r="H16" s="1">
        <v>7000904</v>
      </c>
      <c r="I16" s="1">
        <v>2032052</v>
      </c>
      <c r="J16" s="4"/>
      <c r="K16" s="4"/>
    </row>
    <row r="17" spans="2:11" ht="25" customHeight="1" x14ac:dyDescent="0.35">
      <c r="B17" s="12" t="s">
        <v>9</v>
      </c>
      <c r="C17" s="2" t="s">
        <v>40</v>
      </c>
      <c r="D17" s="7" t="s">
        <v>105</v>
      </c>
      <c r="E17" s="2" t="s">
        <v>108</v>
      </c>
      <c r="F17" s="7" t="s">
        <v>107</v>
      </c>
      <c r="G17" s="1">
        <v>16413255</v>
      </c>
      <c r="H17" s="1">
        <v>218503</v>
      </c>
      <c r="I17" s="1">
        <v>7662</v>
      </c>
      <c r="J17" s="4"/>
      <c r="K17" s="4"/>
    </row>
    <row r="18" spans="2:11" ht="25" customHeight="1" x14ac:dyDescent="0.35">
      <c r="B18" s="12"/>
      <c r="C18" s="2" t="s">
        <v>39</v>
      </c>
      <c r="D18" s="7" t="s">
        <v>105</v>
      </c>
      <c r="E18" s="2" t="s">
        <v>108</v>
      </c>
      <c r="F18" s="7" t="s">
        <v>107</v>
      </c>
      <c r="G18" s="1">
        <v>29977360</v>
      </c>
      <c r="H18" s="1">
        <v>21429235</v>
      </c>
      <c r="I18" s="1">
        <v>1097422</v>
      </c>
      <c r="J18" s="4"/>
      <c r="K18" s="4"/>
    </row>
    <row r="19" spans="2:11" ht="25" customHeight="1" x14ac:dyDescent="0.35">
      <c r="B19" s="12"/>
      <c r="C19" s="2" t="s">
        <v>38</v>
      </c>
      <c r="D19" s="7" t="s">
        <v>105</v>
      </c>
      <c r="E19" s="2" t="s">
        <v>108</v>
      </c>
      <c r="F19" s="7" t="s">
        <v>107</v>
      </c>
      <c r="G19" s="1">
        <v>156839322</v>
      </c>
      <c r="H19" s="1">
        <v>137207318</v>
      </c>
      <c r="I19" s="1">
        <v>2563780</v>
      </c>
      <c r="J19" s="4"/>
      <c r="K19" s="4"/>
    </row>
    <row r="20" spans="2:11" ht="25" customHeight="1" x14ac:dyDescent="0.35">
      <c r="B20" s="12" t="s">
        <v>93</v>
      </c>
      <c r="C20" s="2" t="s">
        <v>75</v>
      </c>
      <c r="D20" s="7" t="s">
        <v>109</v>
      </c>
      <c r="E20" s="7" t="s">
        <v>106</v>
      </c>
      <c r="F20" s="7" t="s">
        <v>107</v>
      </c>
      <c r="G20" s="1">
        <v>17800932</v>
      </c>
      <c r="H20" s="1">
        <v>15158686</v>
      </c>
      <c r="I20" s="1">
        <v>2131053</v>
      </c>
      <c r="J20" s="4"/>
      <c r="K20" s="4"/>
    </row>
    <row r="21" spans="2:11" ht="25" customHeight="1" x14ac:dyDescent="0.35">
      <c r="B21" s="12"/>
      <c r="C21" s="2" t="s">
        <v>74</v>
      </c>
      <c r="D21" s="7" t="s">
        <v>109</v>
      </c>
      <c r="E21" s="7" t="s">
        <v>106</v>
      </c>
      <c r="F21" s="7" t="s">
        <v>107</v>
      </c>
      <c r="G21" s="1">
        <v>20914081</v>
      </c>
      <c r="H21" s="1">
        <v>15044381</v>
      </c>
      <c r="I21" s="1">
        <v>2094905</v>
      </c>
      <c r="J21" s="4"/>
      <c r="K21" s="4"/>
    </row>
    <row r="22" spans="2:11" ht="25" customHeight="1" x14ac:dyDescent="0.35">
      <c r="B22" s="12"/>
      <c r="C22" s="2" t="s">
        <v>73</v>
      </c>
      <c r="D22" s="7" t="s">
        <v>109</v>
      </c>
      <c r="E22" s="7" t="s">
        <v>106</v>
      </c>
      <c r="F22" s="7" t="s">
        <v>107</v>
      </c>
      <c r="G22" s="1">
        <v>16537510</v>
      </c>
      <c r="H22" s="1">
        <v>13490218</v>
      </c>
      <c r="I22" s="1">
        <v>1381256</v>
      </c>
      <c r="J22" s="4"/>
      <c r="K22" s="4"/>
    </row>
    <row r="23" spans="2:11" ht="25" customHeight="1" x14ac:dyDescent="0.35">
      <c r="B23" s="12" t="s">
        <v>94</v>
      </c>
      <c r="C23" s="2" t="s">
        <v>72</v>
      </c>
      <c r="D23" s="7" t="s">
        <v>109</v>
      </c>
      <c r="E23" s="7" t="s">
        <v>106</v>
      </c>
      <c r="F23" s="7" t="s">
        <v>107</v>
      </c>
      <c r="G23" s="1">
        <v>6653279</v>
      </c>
      <c r="H23" s="1">
        <v>5511172</v>
      </c>
      <c r="I23" s="1">
        <v>1319940</v>
      </c>
      <c r="J23" s="4"/>
      <c r="K23" s="4"/>
    </row>
    <row r="24" spans="2:11" ht="25" customHeight="1" x14ac:dyDescent="0.35">
      <c r="B24" s="12"/>
      <c r="C24" s="2" t="s">
        <v>71</v>
      </c>
      <c r="D24" s="7" t="s">
        <v>109</v>
      </c>
      <c r="E24" s="7" t="s">
        <v>106</v>
      </c>
      <c r="F24" s="7" t="s">
        <v>107</v>
      </c>
      <c r="G24" s="1">
        <v>5864325</v>
      </c>
      <c r="H24" s="1">
        <v>4917371</v>
      </c>
      <c r="I24" s="1">
        <v>1189433</v>
      </c>
      <c r="J24" s="4"/>
      <c r="K24" s="4"/>
    </row>
    <row r="25" spans="2:11" ht="25" customHeight="1" x14ac:dyDescent="0.35">
      <c r="B25" s="12"/>
      <c r="C25" s="2" t="s">
        <v>70</v>
      </c>
      <c r="D25" s="7" t="s">
        <v>109</v>
      </c>
      <c r="E25" s="7" t="s">
        <v>106</v>
      </c>
      <c r="F25" s="7" t="s">
        <v>107</v>
      </c>
      <c r="G25" s="1">
        <v>6031372</v>
      </c>
      <c r="H25" s="1">
        <v>4939836</v>
      </c>
      <c r="I25" s="1">
        <v>1253458</v>
      </c>
      <c r="J25" s="4"/>
      <c r="K25" s="4"/>
    </row>
    <row r="26" spans="2:11" ht="25" customHeight="1" x14ac:dyDescent="0.35">
      <c r="B26" s="12" t="s">
        <v>8</v>
      </c>
      <c r="C26" s="2" t="s">
        <v>37</v>
      </c>
      <c r="D26" s="7" t="s">
        <v>109</v>
      </c>
      <c r="E26" s="7" t="s">
        <v>106</v>
      </c>
      <c r="F26" s="7" t="s">
        <v>107</v>
      </c>
      <c r="G26" s="1">
        <v>9531917</v>
      </c>
      <c r="H26" s="1">
        <v>7864097</v>
      </c>
      <c r="I26" s="1">
        <v>1605080</v>
      </c>
      <c r="J26" s="4"/>
      <c r="K26" s="4"/>
    </row>
    <row r="27" spans="2:11" ht="25" customHeight="1" x14ac:dyDescent="0.35">
      <c r="B27" s="12"/>
      <c r="C27" s="2" t="s">
        <v>36</v>
      </c>
      <c r="D27" s="7" t="s">
        <v>109</v>
      </c>
      <c r="E27" s="7" t="s">
        <v>106</v>
      </c>
      <c r="F27" s="7" t="s">
        <v>107</v>
      </c>
      <c r="G27" s="1">
        <v>7175256</v>
      </c>
      <c r="H27" s="1">
        <v>5873905</v>
      </c>
      <c r="I27" s="1">
        <v>1332670</v>
      </c>
      <c r="J27" s="4"/>
      <c r="K27" s="4"/>
    </row>
    <row r="28" spans="2:11" ht="25" customHeight="1" x14ac:dyDescent="0.35">
      <c r="B28" s="12"/>
      <c r="C28" s="2" t="s">
        <v>35</v>
      </c>
      <c r="D28" s="7" t="s">
        <v>109</v>
      </c>
      <c r="E28" s="7" t="s">
        <v>106</v>
      </c>
      <c r="F28" s="7" t="s">
        <v>107</v>
      </c>
      <c r="G28" s="1">
        <v>8203563</v>
      </c>
      <c r="H28" s="1">
        <v>6608520</v>
      </c>
      <c r="I28" s="1">
        <v>1533235</v>
      </c>
      <c r="J28" s="4"/>
      <c r="K28" s="4"/>
    </row>
    <row r="29" spans="2:11" ht="25" customHeight="1" x14ac:dyDescent="0.35">
      <c r="B29" s="12" t="s">
        <v>95</v>
      </c>
      <c r="C29" s="2" t="s">
        <v>69</v>
      </c>
      <c r="D29" s="7" t="s">
        <v>109</v>
      </c>
      <c r="E29" s="2" t="s">
        <v>110</v>
      </c>
      <c r="F29" s="7" t="s">
        <v>107</v>
      </c>
      <c r="G29" s="1">
        <v>59647649</v>
      </c>
      <c r="H29" s="1">
        <v>49575815</v>
      </c>
      <c r="I29" s="1">
        <v>1206038</v>
      </c>
      <c r="J29" s="4"/>
      <c r="K29" s="4"/>
    </row>
    <row r="30" spans="2:11" ht="25" customHeight="1" x14ac:dyDescent="0.35">
      <c r="B30" s="12"/>
      <c r="C30" s="2" t="s">
        <v>68</v>
      </c>
      <c r="D30" s="7" t="s">
        <v>109</v>
      </c>
      <c r="E30" s="2" t="s">
        <v>110</v>
      </c>
      <c r="F30" s="7" t="s">
        <v>107</v>
      </c>
      <c r="G30" s="1">
        <v>61211580</v>
      </c>
      <c r="H30" s="1">
        <v>50019110</v>
      </c>
      <c r="I30" s="1">
        <v>1400497</v>
      </c>
      <c r="J30" s="4"/>
      <c r="K30" s="4"/>
    </row>
    <row r="31" spans="2:11" ht="25" customHeight="1" x14ac:dyDescent="0.35">
      <c r="B31" s="12"/>
      <c r="C31" s="2" t="s">
        <v>67</v>
      </c>
      <c r="D31" s="7" t="s">
        <v>109</v>
      </c>
      <c r="E31" s="2" t="s">
        <v>110</v>
      </c>
      <c r="F31" s="7" t="s">
        <v>107</v>
      </c>
      <c r="G31" s="1">
        <v>48197728</v>
      </c>
      <c r="H31" s="1">
        <v>40964313</v>
      </c>
      <c r="I31" s="1">
        <v>940527</v>
      </c>
      <c r="J31" s="4"/>
      <c r="K31" s="4"/>
    </row>
    <row r="32" spans="2:11" ht="25" customHeight="1" x14ac:dyDescent="0.35">
      <c r="B32" s="12" t="s">
        <v>7</v>
      </c>
      <c r="C32" s="2" t="s">
        <v>34</v>
      </c>
      <c r="D32" s="7" t="s">
        <v>109</v>
      </c>
      <c r="E32" s="2" t="s">
        <v>111</v>
      </c>
      <c r="F32" s="7" t="s">
        <v>107</v>
      </c>
      <c r="G32" s="1">
        <v>19433819</v>
      </c>
      <c r="H32" s="1">
        <v>12450783</v>
      </c>
      <c r="I32" s="1">
        <v>1464925</v>
      </c>
      <c r="J32" s="4"/>
      <c r="K32" s="4"/>
    </row>
    <row r="33" spans="2:11" ht="25" customHeight="1" x14ac:dyDescent="0.35">
      <c r="B33" s="12"/>
      <c r="C33" s="2" t="s">
        <v>33</v>
      </c>
      <c r="D33" s="7" t="s">
        <v>109</v>
      </c>
      <c r="E33" s="2" t="s">
        <v>111</v>
      </c>
      <c r="F33" s="7" t="s">
        <v>107</v>
      </c>
      <c r="G33" s="1">
        <v>27247667</v>
      </c>
      <c r="H33" s="1">
        <v>19689064</v>
      </c>
      <c r="I33" s="1">
        <v>2170982</v>
      </c>
      <c r="J33" s="4"/>
      <c r="K33" s="4"/>
    </row>
    <row r="34" spans="2:11" ht="25" customHeight="1" x14ac:dyDescent="0.35">
      <c r="B34" s="12"/>
      <c r="C34" s="2" t="s">
        <v>32</v>
      </c>
      <c r="D34" s="7" t="s">
        <v>109</v>
      </c>
      <c r="E34" s="2" t="s">
        <v>111</v>
      </c>
      <c r="F34" s="7" t="s">
        <v>107</v>
      </c>
      <c r="G34" s="1">
        <v>19394330</v>
      </c>
      <c r="H34" s="1">
        <v>12368574</v>
      </c>
      <c r="I34" s="1">
        <v>1305450</v>
      </c>
      <c r="J34" s="4"/>
      <c r="K34" s="4"/>
    </row>
    <row r="35" spans="2:11" ht="25" customHeight="1" x14ac:dyDescent="0.35">
      <c r="B35" s="12" t="s">
        <v>96</v>
      </c>
      <c r="C35" s="2" t="s">
        <v>66</v>
      </c>
      <c r="D35" s="7" t="s">
        <v>109</v>
      </c>
      <c r="E35" s="2" t="s">
        <v>112</v>
      </c>
      <c r="F35" s="7" t="s">
        <v>107</v>
      </c>
      <c r="G35" s="1">
        <v>13608223</v>
      </c>
      <c r="H35" s="1">
        <v>11154860</v>
      </c>
      <c r="I35" s="1">
        <v>790518</v>
      </c>
      <c r="J35" s="4"/>
      <c r="K35" s="4"/>
    </row>
    <row r="36" spans="2:11" ht="25" customHeight="1" x14ac:dyDescent="0.35">
      <c r="B36" s="12"/>
      <c r="C36" s="2" t="s">
        <v>65</v>
      </c>
      <c r="D36" s="7" t="s">
        <v>109</v>
      </c>
      <c r="E36" s="2" t="s">
        <v>112</v>
      </c>
      <c r="F36" s="7" t="s">
        <v>107</v>
      </c>
      <c r="G36" s="1">
        <v>11145042</v>
      </c>
      <c r="H36" s="1">
        <v>8957469</v>
      </c>
      <c r="I36" s="1">
        <v>663618</v>
      </c>
      <c r="J36" s="4"/>
      <c r="K36" s="4"/>
    </row>
    <row r="37" spans="2:11" ht="25" customHeight="1" x14ac:dyDescent="0.35">
      <c r="B37" s="12"/>
      <c r="C37" s="2" t="s">
        <v>64</v>
      </c>
      <c r="D37" s="7" t="s">
        <v>109</v>
      </c>
      <c r="E37" s="2" t="s">
        <v>112</v>
      </c>
      <c r="F37" s="7" t="s">
        <v>107</v>
      </c>
      <c r="G37" s="1">
        <v>11905855</v>
      </c>
      <c r="H37" s="1">
        <v>9420428</v>
      </c>
      <c r="I37" s="1">
        <v>785328</v>
      </c>
      <c r="J37" s="4"/>
      <c r="K37" s="4"/>
    </row>
    <row r="38" spans="2:11" ht="25" customHeight="1" x14ac:dyDescent="0.35">
      <c r="B38" s="12" t="s">
        <v>6</v>
      </c>
      <c r="C38" s="2" t="s">
        <v>31</v>
      </c>
      <c r="D38" s="7" t="s">
        <v>109</v>
      </c>
      <c r="E38" s="2" t="s">
        <v>113</v>
      </c>
      <c r="F38" s="7" t="s">
        <v>107</v>
      </c>
      <c r="G38" s="1">
        <v>20608648</v>
      </c>
      <c r="H38" s="1">
        <v>4046268</v>
      </c>
      <c r="I38" s="1">
        <v>703134</v>
      </c>
      <c r="J38" s="4"/>
      <c r="K38" s="4"/>
    </row>
    <row r="39" spans="2:11" ht="25" customHeight="1" x14ac:dyDescent="0.35">
      <c r="B39" s="12"/>
      <c r="C39" s="2" t="s">
        <v>30</v>
      </c>
      <c r="D39" s="7" t="s">
        <v>109</v>
      </c>
      <c r="E39" s="2" t="s">
        <v>113</v>
      </c>
      <c r="F39" s="7" t="s">
        <v>107</v>
      </c>
      <c r="G39" s="1">
        <v>23706831</v>
      </c>
      <c r="H39" s="1">
        <v>9910632</v>
      </c>
      <c r="I39" s="1">
        <v>1341162</v>
      </c>
      <c r="J39" s="4"/>
      <c r="K39" s="4"/>
    </row>
    <row r="40" spans="2:11" ht="25" customHeight="1" x14ac:dyDescent="0.35">
      <c r="B40" s="12"/>
      <c r="C40" s="2" t="s">
        <v>29</v>
      </c>
      <c r="D40" s="7" t="s">
        <v>109</v>
      </c>
      <c r="E40" s="2" t="s">
        <v>113</v>
      </c>
      <c r="F40" s="7" t="s">
        <v>107</v>
      </c>
      <c r="G40" s="1">
        <v>22657041</v>
      </c>
      <c r="H40" s="1">
        <v>14448873</v>
      </c>
      <c r="I40" s="1">
        <v>1562945</v>
      </c>
      <c r="J40" s="4"/>
      <c r="K40" s="4"/>
    </row>
    <row r="41" spans="2:11" ht="25" customHeight="1" x14ac:dyDescent="0.35">
      <c r="B41" s="12" t="s">
        <v>97</v>
      </c>
      <c r="C41" s="2" t="s">
        <v>63</v>
      </c>
      <c r="D41" s="7" t="s">
        <v>114</v>
      </c>
      <c r="E41" s="7" t="s">
        <v>106</v>
      </c>
      <c r="F41" s="7" t="s">
        <v>107</v>
      </c>
      <c r="G41" s="1">
        <v>8470814</v>
      </c>
      <c r="H41" s="1">
        <v>1955213</v>
      </c>
      <c r="I41" s="1">
        <v>377744</v>
      </c>
      <c r="J41" s="4"/>
      <c r="K41" s="4"/>
    </row>
    <row r="42" spans="2:11" ht="25" customHeight="1" x14ac:dyDescent="0.35">
      <c r="B42" s="12"/>
      <c r="C42" s="2" t="s">
        <v>62</v>
      </c>
      <c r="D42" s="7" t="s">
        <v>114</v>
      </c>
      <c r="E42" s="7" t="s">
        <v>106</v>
      </c>
      <c r="F42" s="7" t="s">
        <v>107</v>
      </c>
      <c r="G42" s="1">
        <v>11150459</v>
      </c>
      <c r="H42" s="1">
        <v>2637846</v>
      </c>
      <c r="I42" s="1">
        <v>449431</v>
      </c>
      <c r="J42" s="4"/>
      <c r="K42" s="4"/>
    </row>
    <row r="43" spans="2:11" ht="25" customHeight="1" x14ac:dyDescent="0.35">
      <c r="B43" s="12"/>
      <c r="C43" s="2" t="s">
        <v>61</v>
      </c>
      <c r="D43" s="7" t="s">
        <v>114</v>
      </c>
      <c r="E43" s="7" t="s">
        <v>106</v>
      </c>
      <c r="F43" s="7" t="s">
        <v>107</v>
      </c>
      <c r="G43" s="1">
        <v>8407419</v>
      </c>
      <c r="H43" s="1">
        <v>2355256</v>
      </c>
      <c r="I43" s="1">
        <v>354993</v>
      </c>
      <c r="J43" s="4"/>
      <c r="K43" s="4"/>
    </row>
    <row r="44" spans="2:11" ht="25" customHeight="1" x14ac:dyDescent="0.35">
      <c r="B44" s="12" t="s">
        <v>98</v>
      </c>
      <c r="C44" s="2" t="s">
        <v>60</v>
      </c>
      <c r="D44" s="7" t="s">
        <v>114</v>
      </c>
      <c r="E44" s="7" t="s">
        <v>106</v>
      </c>
      <c r="F44" s="7" t="s">
        <v>107</v>
      </c>
      <c r="G44" s="1">
        <v>26142578</v>
      </c>
      <c r="H44" s="1">
        <v>12588572</v>
      </c>
      <c r="I44" s="1">
        <v>803082</v>
      </c>
      <c r="J44" s="4"/>
      <c r="K44" s="4"/>
    </row>
    <row r="45" spans="2:11" ht="25" customHeight="1" x14ac:dyDescent="0.35">
      <c r="B45" s="12"/>
      <c r="C45" s="2" t="s">
        <v>59</v>
      </c>
      <c r="D45" s="7" t="s">
        <v>114</v>
      </c>
      <c r="E45" s="7" t="s">
        <v>106</v>
      </c>
      <c r="F45" s="7" t="s">
        <v>107</v>
      </c>
      <c r="G45" s="1">
        <v>35192816</v>
      </c>
      <c r="H45" s="1">
        <v>20352936</v>
      </c>
      <c r="I45" s="1">
        <v>1028847</v>
      </c>
      <c r="J45" s="4"/>
      <c r="K45" s="4"/>
    </row>
    <row r="46" spans="2:11" ht="25" customHeight="1" x14ac:dyDescent="0.35">
      <c r="B46" s="12"/>
      <c r="C46" s="2" t="s">
        <v>58</v>
      </c>
      <c r="D46" s="7" t="s">
        <v>114</v>
      </c>
      <c r="E46" s="7" t="s">
        <v>106</v>
      </c>
      <c r="F46" s="7" t="s">
        <v>107</v>
      </c>
      <c r="G46" s="1">
        <v>51369602</v>
      </c>
      <c r="H46" s="1">
        <v>13654505</v>
      </c>
      <c r="I46" s="1">
        <v>561337</v>
      </c>
      <c r="J46" s="4"/>
      <c r="K46" s="4"/>
    </row>
    <row r="47" spans="2:11" ht="25" customHeight="1" x14ac:dyDescent="0.35">
      <c r="B47" s="12" t="s">
        <v>5</v>
      </c>
      <c r="C47" s="2" t="s">
        <v>28</v>
      </c>
      <c r="D47" s="7" t="s">
        <v>114</v>
      </c>
      <c r="E47" s="7" t="s">
        <v>106</v>
      </c>
      <c r="F47" s="2" t="s">
        <v>115</v>
      </c>
      <c r="G47" s="1">
        <v>27105118</v>
      </c>
      <c r="H47" s="1">
        <v>15562146</v>
      </c>
      <c r="I47" s="1">
        <v>2719836</v>
      </c>
      <c r="J47" s="4"/>
      <c r="K47" s="4"/>
    </row>
    <row r="48" spans="2:11" ht="25" customHeight="1" x14ac:dyDescent="0.35">
      <c r="B48" s="12"/>
      <c r="C48" s="2" t="s">
        <v>27</v>
      </c>
      <c r="D48" s="7" t="s">
        <v>114</v>
      </c>
      <c r="E48" s="7" t="s">
        <v>106</v>
      </c>
      <c r="F48" s="2" t="s">
        <v>115</v>
      </c>
      <c r="G48" s="1">
        <v>12170755</v>
      </c>
      <c r="H48" s="1">
        <v>5565099</v>
      </c>
      <c r="I48" s="1">
        <v>1157407</v>
      </c>
      <c r="J48" s="4"/>
      <c r="K48" s="4"/>
    </row>
    <row r="49" spans="2:11" ht="25" customHeight="1" x14ac:dyDescent="0.35">
      <c r="B49" s="12"/>
      <c r="C49" s="2" t="s">
        <v>26</v>
      </c>
      <c r="D49" s="7" t="s">
        <v>114</v>
      </c>
      <c r="E49" s="7" t="s">
        <v>106</v>
      </c>
      <c r="F49" s="2" t="s">
        <v>115</v>
      </c>
      <c r="G49" s="1">
        <v>16855086</v>
      </c>
      <c r="H49" s="1">
        <v>9551656</v>
      </c>
      <c r="I49" s="1">
        <v>1711178</v>
      </c>
      <c r="J49" s="4"/>
      <c r="K49" s="4"/>
    </row>
    <row r="50" spans="2:11" ht="25" customHeight="1" x14ac:dyDescent="0.35">
      <c r="B50" s="12" t="s">
        <v>4</v>
      </c>
      <c r="C50" s="2" t="s">
        <v>25</v>
      </c>
      <c r="D50" s="7" t="s">
        <v>114</v>
      </c>
      <c r="E50" s="2" t="s">
        <v>116</v>
      </c>
      <c r="F50" s="7" t="s">
        <v>107</v>
      </c>
      <c r="G50" s="1">
        <v>1556132</v>
      </c>
      <c r="H50" s="1">
        <v>12828</v>
      </c>
      <c r="I50" s="1">
        <v>3599</v>
      </c>
      <c r="J50" s="4"/>
      <c r="K50" s="4"/>
    </row>
    <row r="51" spans="2:11" ht="25" customHeight="1" x14ac:dyDescent="0.35">
      <c r="B51" s="12"/>
      <c r="C51" s="2" t="s">
        <v>24</v>
      </c>
      <c r="D51" s="7" t="s">
        <v>114</v>
      </c>
      <c r="E51" s="2" t="s">
        <v>116</v>
      </c>
      <c r="F51" s="7" t="s">
        <v>107</v>
      </c>
      <c r="G51" s="1">
        <v>3143329</v>
      </c>
      <c r="H51" s="1">
        <v>3987</v>
      </c>
      <c r="I51" s="1">
        <v>1499</v>
      </c>
      <c r="J51" s="4"/>
      <c r="K51" s="4"/>
    </row>
    <row r="52" spans="2:11" ht="25" customHeight="1" x14ac:dyDescent="0.35">
      <c r="B52" s="12"/>
      <c r="C52" s="2" t="s">
        <v>23</v>
      </c>
      <c r="D52" s="7" t="s">
        <v>114</v>
      </c>
      <c r="E52" s="2" t="s">
        <v>116</v>
      </c>
      <c r="F52" s="7" t="s">
        <v>107</v>
      </c>
      <c r="G52" s="1">
        <v>2029761</v>
      </c>
      <c r="H52" s="1">
        <v>236898</v>
      </c>
      <c r="I52" s="1">
        <v>13175</v>
      </c>
      <c r="J52" s="4"/>
      <c r="K52" s="4"/>
    </row>
    <row r="53" spans="2:11" ht="25" customHeight="1" x14ac:dyDescent="0.35">
      <c r="B53" s="12" t="s">
        <v>3</v>
      </c>
      <c r="C53" s="2" t="s">
        <v>22</v>
      </c>
      <c r="D53" s="7" t="s">
        <v>114</v>
      </c>
      <c r="E53" s="7" t="s">
        <v>117</v>
      </c>
      <c r="F53" s="7" t="s">
        <v>107</v>
      </c>
      <c r="G53" s="1">
        <v>87687</v>
      </c>
      <c r="H53" s="1">
        <v>69802</v>
      </c>
      <c r="I53" s="1">
        <v>1983</v>
      </c>
      <c r="J53" s="4"/>
      <c r="K53" s="4"/>
    </row>
    <row r="54" spans="2:11" ht="25" customHeight="1" x14ac:dyDescent="0.35">
      <c r="B54" s="12"/>
      <c r="C54" s="2" t="s">
        <v>21</v>
      </c>
      <c r="D54" s="7" t="s">
        <v>114</v>
      </c>
      <c r="E54" s="7" t="s">
        <v>117</v>
      </c>
      <c r="F54" s="7" t="s">
        <v>107</v>
      </c>
      <c r="G54" s="1">
        <v>106666</v>
      </c>
      <c r="H54" s="1">
        <v>87956</v>
      </c>
      <c r="I54" s="1">
        <v>1973</v>
      </c>
      <c r="J54" s="4"/>
      <c r="K54" s="4"/>
    </row>
    <row r="55" spans="2:11" ht="25" customHeight="1" x14ac:dyDescent="0.35">
      <c r="B55" s="12"/>
      <c r="C55" s="2" t="s">
        <v>20</v>
      </c>
      <c r="D55" s="7" t="s">
        <v>114</v>
      </c>
      <c r="E55" s="7" t="s">
        <v>117</v>
      </c>
      <c r="F55" s="7" t="s">
        <v>107</v>
      </c>
      <c r="G55" s="1">
        <v>118084</v>
      </c>
      <c r="H55" s="1">
        <v>96510</v>
      </c>
      <c r="I55" s="1">
        <v>2160</v>
      </c>
      <c r="J55" s="4"/>
      <c r="K55" s="4"/>
    </row>
    <row r="56" spans="2:11" ht="25" customHeight="1" x14ac:dyDescent="0.35">
      <c r="B56" s="12" t="s">
        <v>2</v>
      </c>
      <c r="C56" s="2" t="s">
        <v>19</v>
      </c>
      <c r="D56" s="7" t="s">
        <v>118</v>
      </c>
      <c r="E56" s="7" t="s">
        <v>106</v>
      </c>
      <c r="F56" s="2" t="s">
        <v>119</v>
      </c>
      <c r="G56" s="1">
        <v>33119686</v>
      </c>
      <c r="H56" s="1">
        <v>20602956</v>
      </c>
      <c r="I56" s="1">
        <v>340660</v>
      </c>
      <c r="J56" s="4"/>
      <c r="K56" s="4"/>
    </row>
    <row r="57" spans="2:11" ht="25" customHeight="1" x14ac:dyDescent="0.35">
      <c r="B57" s="12"/>
      <c r="C57" s="2" t="s">
        <v>18</v>
      </c>
      <c r="D57" s="7" t="s">
        <v>118</v>
      </c>
      <c r="E57" s="7" t="s">
        <v>106</v>
      </c>
      <c r="F57" s="2" t="s">
        <v>119</v>
      </c>
      <c r="G57" s="1">
        <v>15700561</v>
      </c>
      <c r="H57" s="1">
        <v>10766324</v>
      </c>
      <c r="I57" s="1">
        <v>382967</v>
      </c>
      <c r="J57" s="4"/>
      <c r="K57" s="4"/>
    </row>
    <row r="58" spans="2:11" ht="25" customHeight="1" x14ac:dyDescent="0.35">
      <c r="B58" s="12"/>
      <c r="C58" s="2" t="s">
        <v>17</v>
      </c>
      <c r="D58" s="7" t="s">
        <v>118</v>
      </c>
      <c r="E58" s="7" t="s">
        <v>106</v>
      </c>
      <c r="F58" s="2" t="s">
        <v>119</v>
      </c>
      <c r="G58" s="1">
        <v>25020005</v>
      </c>
      <c r="H58" s="1">
        <v>17978853</v>
      </c>
      <c r="I58" s="1">
        <v>710156</v>
      </c>
      <c r="J58" s="4"/>
      <c r="K58" s="4"/>
    </row>
    <row r="59" spans="2:11" ht="25" customHeight="1" x14ac:dyDescent="0.35">
      <c r="B59" s="12" t="s">
        <v>99</v>
      </c>
      <c r="C59" s="2" t="s">
        <v>57</v>
      </c>
      <c r="D59" s="7" t="s">
        <v>118</v>
      </c>
      <c r="E59" s="7" t="s">
        <v>106</v>
      </c>
      <c r="F59" s="2" t="s">
        <v>119</v>
      </c>
      <c r="G59" s="1">
        <v>12107253</v>
      </c>
      <c r="H59" s="1">
        <v>9551349</v>
      </c>
      <c r="I59" s="1">
        <v>210469</v>
      </c>
      <c r="J59" s="4"/>
      <c r="K59" s="4"/>
    </row>
    <row r="60" spans="2:11" ht="25" customHeight="1" x14ac:dyDescent="0.35">
      <c r="B60" s="12"/>
      <c r="C60" s="2" t="s">
        <v>56</v>
      </c>
      <c r="D60" s="7" t="s">
        <v>118</v>
      </c>
      <c r="E60" s="7" t="s">
        <v>106</v>
      </c>
      <c r="F60" s="2" t="s">
        <v>119</v>
      </c>
      <c r="G60" s="1">
        <v>6013908</v>
      </c>
      <c r="H60" s="1">
        <v>4531277</v>
      </c>
      <c r="I60" s="1">
        <v>146327</v>
      </c>
      <c r="J60" s="4"/>
      <c r="K60" s="4"/>
    </row>
    <row r="61" spans="2:11" ht="25" customHeight="1" x14ac:dyDescent="0.35">
      <c r="B61" s="12"/>
      <c r="C61" s="2" t="s">
        <v>55</v>
      </c>
      <c r="D61" s="7" t="s">
        <v>118</v>
      </c>
      <c r="E61" s="7" t="s">
        <v>106</v>
      </c>
      <c r="F61" s="2" t="s">
        <v>119</v>
      </c>
      <c r="G61" s="1">
        <v>9102498</v>
      </c>
      <c r="H61" s="1">
        <v>5454302</v>
      </c>
      <c r="I61" s="1">
        <v>284663</v>
      </c>
      <c r="J61" s="4"/>
      <c r="K61" s="4"/>
    </row>
    <row r="62" spans="2:11" ht="25" customHeight="1" x14ac:dyDescent="0.35">
      <c r="B62" s="12" t="s">
        <v>1</v>
      </c>
      <c r="C62" s="2" t="s">
        <v>16</v>
      </c>
      <c r="D62" s="7" t="s">
        <v>120</v>
      </c>
      <c r="E62" s="7" t="s">
        <v>106</v>
      </c>
      <c r="F62" s="7" t="s">
        <v>107</v>
      </c>
      <c r="G62" s="1">
        <v>20617852</v>
      </c>
      <c r="H62" s="1">
        <v>14717369</v>
      </c>
      <c r="I62" s="1">
        <v>1393404</v>
      </c>
      <c r="J62" s="4"/>
      <c r="K62" s="4"/>
    </row>
    <row r="63" spans="2:11" ht="25" customHeight="1" x14ac:dyDescent="0.35">
      <c r="B63" s="12"/>
      <c r="C63" s="2" t="s">
        <v>15</v>
      </c>
      <c r="D63" s="7" t="s">
        <v>120</v>
      </c>
      <c r="E63" s="7" t="s">
        <v>106</v>
      </c>
      <c r="F63" s="7" t="s">
        <v>107</v>
      </c>
      <c r="G63" s="1">
        <v>20027945</v>
      </c>
      <c r="H63" s="1">
        <v>14004068</v>
      </c>
      <c r="I63" s="1">
        <v>1214470</v>
      </c>
      <c r="J63" s="4"/>
      <c r="K63" s="4"/>
    </row>
    <row r="64" spans="2:11" ht="25" customHeight="1" x14ac:dyDescent="0.35">
      <c r="B64" s="12"/>
      <c r="C64" s="2" t="s">
        <v>14</v>
      </c>
      <c r="D64" s="7" t="s">
        <v>120</v>
      </c>
      <c r="E64" s="7" t="s">
        <v>106</v>
      </c>
      <c r="F64" s="7" t="s">
        <v>107</v>
      </c>
      <c r="G64" s="1">
        <v>21773810</v>
      </c>
      <c r="H64" s="1">
        <v>15398554</v>
      </c>
      <c r="I64" s="1">
        <v>1423089</v>
      </c>
      <c r="J64" s="4"/>
      <c r="K64" s="4"/>
    </row>
    <row r="65" spans="2:11" ht="25" customHeight="1" x14ac:dyDescent="0.35">
      <c r="B65" s="12" t="s">
        <v>100</v>
      </c>
      <c r="C65" s="2" t="s">
        <v>54</v>
      </c>
      <c r="D65" s="7" t="s">
        <v>120</v>
      </c>
      <c r="E65" s="7" t="s">
        <v>106</v>
      </c>
      <c r="F65" s="7" t="s">
        <v>107</v>
      </c>
      <c r="G65" s="1">
        <v>47807657</v>
      </c>
      <c r="H65" s="1">
        <v>12064122</v>
      </c>
      <c r="I65" s="1">
        <v>553314</v>
      </c>
      <c r="J65" s="4"/>
      <c r="K65" s="4"/>
    </row>
    <row r="66" spans="2:11" ht="25" customHeight="1" x14ac:dyDescent="0.35">
      <c r="B66" s="12"/>
      <c r="C66" s="2" t="s">
        <v>53</v>
      </c>
      <c r="D66" s="7" t="s">
        <v>120</v>
      </c>
      <c r="E66" s="7" t="s">
        <v>106</v>
      </c>
      <c r="F66" s="7" t="s">
        <v>107</v>
      </c>
      <c r="G66" s="1">
        <v>37522218</v>
      </c>
      <c r="H66" s="1">
        <v>14681216</v>
      </c>
      <c r="I66" s="1">
        <v>531518</v>
      </c>
      <c r="J66" s="4"/>
      <c r="K66" s="4"/>
    </row>
    <row r="67" spans="2:11" ht="25" customHeight="1" x14ac:dyDescent="0.35">
      <c r="B67" s="12"/>
      <c r="C67" s="2" t="s">
        <v>52</v>
      </c>
      <c r="D67" s="7" t="s">
        <v>120</v>
      </c>
      <c r="E67" s="7" t="s">
        <v>106</v>
      </c>
      <c r="F67" s="7" t="s">
        <v>107</v>
      </c>
      <c r="G67" s="1">
        <v>28126155</v>
      </c>
      <c r="H67" s="1">
        <v>9608924</v>
      </c>
      <c r="I67" s="1">
        <v>652840</v>
      </c>
      <c r="J67" s="4"/>
      <c r="K67" s="4"/>
    </row>
    <row r="68" spans="2:11" ht="25" customHeight="1" x14ac:dyDescent="0.35">
      <c r="B68" s="12" t="s">
        <v>0</v>
      </c>
      <c r="C68" s="2" t="s">
        <v>13</v>
      </c>
      <c r="D68" s="2" t="s">
        <v>121</v>
      </c>
      <c r="E68" s="7" t="s">
        <v>106</v>
      </c>
      <c r="F68" s="7" t="s">
        <v>107</v>
      </c>
      <c r="G68" s="1">
        <v>12245186</v>
      </c>
      <c r="H68" s="1">
        <v>8195126</v>
      </c>
      <c r="I68" s="1">
        <v>2291273</v>
      </c>
      <c r="J68" s="4"/>
      <c r="K68" s="4"/>
    </row>
    <row r="69" spans="2:11" ht="25" customHeight="1" x14ac:dyDescent="0.35">
      <c r="B69" s="12"/>
      <c r="C69" s="2" t="s">
        <v>12</v>
      </c>
      <c r="D69" s="2" t="s">
        <v>121</v>
      </c>
      <c r="E69" s="7" t="s">
        <v>106</v>
      </c>
      <c r="F69" s="7" t="s">
        <v>107</v>
      </c>
      <c r="G69" s="1">
        <v>12972136</v>
      </c>
      <c r="H69" s="1">
        <v>8556904</v>
      </c>
      <c r="I69" s="1">
        <v>2314118</v>
      </c>
      <c r="J69" s="4"/>
      <c r="K69" s="4"/>
    </row>
    <row r="70" spans="2:11" ht="25" customHeight="1" x14ac:dyDescent="0.35">
      <c r="B70" s="12"/>
      <c r="C70" s="2" t="s">
        <v>11</v>
      </c>
      <c r="D70" s="2" t="s">
        <v>121</v>
      </c>
      <c r="E70" s="7" t="s">
        <v>106</v>
      </c>
      <c r="F70" s="7" t="s">
        <v>107</v>
      </c>
      <c r="G70" s="1">
        <v>13096557</v>
      </c>
      <c r="H70" s="1">
        <v>8378715</v>
      </c>
      <c r="I70" s="1">
        <v>2001666</v>
      </c>
      <c r="J70" s="4"/>
      <c r="K70" s="4"/>
    </row>
    <row r="71" spans="2:11" ht="25" customHeight="1" x14ac:dyDescent="0.35">
      <c r="B71" s="12" t="s">
        <v>101</v>
      </c>
      <c r="C71" s="2" t="s">
        <v>51</v>
      </c>
      <c r="D71" s="2" t="s">
        <v>121</v>
      </c>
      <c r="E71" s="7" t="s">
        <v>106</v>
      </c>
      <c r="F71" s="7" t="s">
        <v>107</v>
      </c>
      <c r="G71" s="1">
        <v>30499994</v>
      </c>
      <c r="H71" s="1">
        <v>23354977</v>
      </c>
      <c r="I71" s="1">
        <v>2706276</v>
      </c>
      <c r="J71" s="4"/>
      <c r="K71" s="4"/>
    </row>
    <row r="72" spans="2:11" ht="25" customHeight="1" x14ac:dyDescent="0.35">
      <c r="B72" s="12"/>
      <c r="C72" s="2" t="s">
        <v>50</v>
      </c>
      <c r="D72" s="2" t="s">
        <v>121</v>
      </c>
      <c r="E72" s="7" t="s">
        <v>106</v>
      </c>
      <c r="F72" s="7" t="s">
        <v>107</v>
      </c>
      <c r="G72" s="1">
        <v>32055125</v>
      </c>
      <c r="H72" s="1">
        <v>15147500</v>
      </c>
      <c r="I72" s="1">
        <v>2314583</v>
      </c>
      <c r="J72" s="4"/>
      <c r="K72" s="4"/>
    </row>
    <row r="73" spans="2:11" ht="25" customHeight="1" x14ac:dyDescent="0.35">
      <c r="B73" s="12"/>
      <c r="C73" s="2" t="s">
        <v>49</v>
      </c>
      <c r="D73" s="2" t="s">
        <v>121</v>
      </c>
      <c r="E73" s="7" t="s">
        <v>106</v>
      </c>
      <c r="F73" s="7" t="s">
        <v>107</v>
      </c>
      <c r="G73" s="1">
        <v>30116384</v>
      </c>
      <c r="H73" s="1">
        <v>13574897</v>
      </c>
      <c r="I73" s="1">
        <v>2260284</v>
      </c>
      <c r="J73" s="4"/>
      <c r="K73" s="4"/>
    </row>
    <row r="74" spans="2:11" x14ac:dyDescent="0.35">
      <c r="B74" s="5" t="s">
        <v>48</v>
      </c>
      <c r="C74" s="4">
        <f>COUNTIF(C2:C73,"*")</f>
        <v>72</v>
      </c>
      <c r="D74" s="4"/>
      <c r="E74" s="4"/>
      <c r="F74" s="4"/>
      <c r="G74" s="6">
        <f>SUM(G2:G73)</f>
        <v>1452586583</v>
      </c>
      <c r="H74" s="6">
        <f>SUM(H2:H73)</f>
        <v>894162701</v>
      </c>
      <c r="I74" s="6">
        <f>SUM(I2:I73)</f>
        <v>85777125</v>
      </c>
      <c r="J74" s="4"/>
      <c r="K74" s="4"/>
    </row>
    <row r="79" spans="2:11" x14ac:dyDescent="0.35">
      <c r="C79" s="3"/>
      <c r="D79" s="3"/>
      <c r="E79" s="3"/>
      <c r="F79" s="3"/>
      <c r="G79" s="3"/>
      <c r="H79" s="3"/>
      <c r="I79" s="3"/>
      <c r="J79" s="3"/>
      <c r="K79" s="3"/>
    </row>
    <row r="80" spans="2:11" x14ac:dyDescent="0.35">
      <c r="C80" s="2"/>
      <c r="D80" s="2"/>
      <c r="E80" s="2"/>
      <c r="F80" s="2"/>
      <c r="G80" s="1"/>
      <c r="H80" s="1"/>
      <c r="I80" s="1"/>
    </row>
    <row r="81" spans="3:9" x14ac:dyDescent="0.35">
      <c r="C81" s="2"/>
      <c r="D81" s="2"/>
      <c r="E81" s="2"/>
      <c r="F81" s="2"/>
      <c r="G81" s="1"/>
      <c r="H81" s="1"/>
      <c r="I81" s="1"/>
    </row>
    <row r="82" spans="3:9" x14ac:dyDescent="0.35">
      <c r="C82" s="2"/>
      <c r="D82" s="2"/>
      <c r="E82" s="2"/>
      <c r="F82" s="2"/>
      <c r="G82" s="1"/>
      <c r="H82" s="1"/>
      <c r="I82" s="1"/>
    </row>
    <row r="83" spans="3:9" x14ac:dyDescent="0.35">
      <c r="C83" s="2"/>
      <c r="D83" s="2"/>
      <c r="E83" s="2"/>
      <c r="F83" s="2"/>
      <c r="G83" s="1"/>
      <c r="H83" s="1"/>
      <c r="I83" s="1"/>
    </row>
    <row r="84" spans="3:9" x14ac:dyDescent="0.35">
      <c r="C84" s="2"/>
      <c r="D84" s="2"/>
      <c r="E84" s="2"/>
      <c r="F84" s="2"/>
      <c r="G84" s="1"/>
      <c r="H84" s="1"/>
      <c r="I84" s="1"/>
    </row>
    <row r="85" spans="3:9" x14ac:dyDescent="0.35">
      <c r="C85" s="2"/>
      <c r="D85" s="2"/>
      <c r="E85" s="2"/>
      <c r="F85" s="2"/>
      <c r="G85" s="1"/>
      <c r="H85" s="1"/>
      <c r="I85" s="1"/>
    </row>
    <row r="86" spans="3:9" x14ac:dyDescent="0.35">
      <c r="C86" s="2"/>
      <c r="D86" s="2"/>
      <c r="E86" s="2"/>
      <c r="F86" s="2"/>
      <c r="G86" s="1"/>
      <c r="H86" s="1"/>
      <c r="I86" s="1"/>
    </row>
    <row r="87" spans="3:9" x14ac:dyDescent="0.35">
      <c r="C87" s="2"/>
      <c r="D87" s="2"/>
      <c r="E87" s="2"/>
      <c r="F87" s="2"/>
      <c r="G87" s="1"/>
      <c r="H87" s="1"/>
      <c r="I87" s="1"/>
    </row>
    <row r="88" spans="3:9" x14ac:dyDescent="0.35">
      <c r="C88" s="2"/>
      <c r="D88" s="2"/>
      <c r="E88" s="2"/>
      <c r="F88" s="2"/>
      <c r="G88" s="1"/>
      <c r="H88" s="1"/>
      <c r="I88" s="1"/>
    </row>
    <row r="89" spans="3:9" x14ac:dyDescent="0.35">
      <c r="C89" s="2"/>
      <c r="D89" s="2"/>
      <c r="E89" s="2"/>
      <c r="F89" s="2"/>
      <c r="G89" s="1"/>
      <c r="H89" s="1"/>
      <c r="I89" s="1"/>
    </row>
    <row r="90" spans="3:9" x14ac:dyDescent="0.35">
      <c r="C90" s="2"/>
      <c r="D90" s="2"/>
      <c r="E90" s="2"/>
      <c r="F90" s="2"/>
      <c r="G90" s="1"/>
      <c r="H90" s="1"/>
      <c r="I90" s="1"/>
    </row>
    <row r="91" spans="3:9" x14ac:dyDescent="0.35">
      <c r="C91" s="2"/>
      <c r="D91" s="2"/>
      <c r="E91" s="2"/>
      <c r="F91" s="2"/>
      <c r="G91" s="1"/>
      <c r="H91" s="1"/>
      <c r="I91" s="1"/>
    </row>
    <row r="92" spans="3:9" x14ac:dyDescent="0.35">
      <c r="C92" s="2"/>
      <c r="D92" s="2"/>
      <c r="E92" s="2"/>
      <c r="F92" s="2"/>
      <c r="G92" s="1"/>
      <c r="H92" s="1"/>
      <c r="I92" s="1"/>
    </row>
    <row r="93" spans="3:9" x14ac:dyDescent="0.35">
      <c r="C93" s="2"/>
      <c r="D93" s="2"/>
      <c r="E93" s="2"/>
      <c r="F93" s="2"/>
      <c r="G93" s="1"/>
      <c r="H93" s="1"/>
      <c r="I93" s="1"/>
    </row>
    <row r="94" spans="3:9" x14ac:dyDescent="0.35">
      <c r="C94" s="2"/>
      <c r="D94" s="2"/>
      <c r="E94" s="2"/>
      <c r="F94" s="2"/>
      <c r="G94" s="1"/>
      <c r="H94" s="1"/>
      <c r="I94" s="1"/>
    </row>
    <row r="95" spans="3:9" x14ac:dyDescent="0.35">
      <c r="C95" s="2"/>
      <c r="D95" s="2"/>
      <c r="E95" s="2"/>
      <c r="F95" s="2"/>
      <c r="G95" s="1"/>
      <c r="H95" s="1"/>
      <c r="I95" s="1"/>
    </row>
    <row r="96" spans="3:9" x14ac:dyDescent="0.35">
      <c r="C96" s="2"/>
      <c r="D96" s="2"/>
      <c r="E96" s="2"/>
      <c r="F96" s="2"/>
      <c r="G96" s="1"/>
      <c r="H96" s="1"/>
      <c r="I96" s="1"/>
    </row>
    <row r="97" spans="3:9" x14ac:dyDescent="0.35">
      <c r="C97" s="2"/>
      <c r="D97" s="2"/>
      <c r="E97" s="2"/>
      <c r="F97" s="2"/>
      <c r="G97" s="1"/>
      <c r="H97" s="1"/>
      <c r="I97" s="1"/>
    </row>
    <row r="98" spans="3:9" x14ac:dyDescent="0.35">
      <c r="C98" s="2"/>
      <c r="D98" s="2"/>
      <c r="E98" s="2"/>
      <c r="F98" s="2"/>
      <c r="G98" s="1"/>
      <c r="H98" s="1"/>
      <c r="I98" s="1"/>
    </row>
    <row r="99" spans="3:9" x14ac:dyDescent="0.35">
      <c r="C99" s="2"/>
      <c r="D99" s="2"/>
      <c r="E99" s="2"/>
      <c r="F99" s="2"/>
      <c r="G99" s="1"/>
      <c r="H99" s="1"/>
      <c r="I99" s="1"/>
    </row>
    <row r="100" spans="3:9" x14ac:dyDescent="0.35">
      <c r="C100" s="2"/>
      <c r="D100" s="2"/>
      <c r="E100" s="2"/>
      <c r="F100" s="2"/>
      <c r="G100" s="1"/>
      <c r="H100" s="1"/>
      <c r="I100" s="1"/>
    </row>
    <row r="101" spans="3:9" x14ac:dyDescent="0.35">
      <c r="C101" s="2"/>
      <c r="D101" s="2"/>
      <c r="E101" s="2"/>
      <c r="F101" s="2"/>
      <c r="G101" s="1"/>
      <c r="H101" s="1"/>
      <c r="I101" s="1"/>
    </row>
    <row r="102" spans="3:9" x14ac:dyDescent="0.35">
      <c r="C102" s="2"/>
      <c r="D102" s="2"/>
      <c r="E102" s="2"/>
      <c r="F102" s="2"/>
      <c r="G102" s="1"/>
      <c r="H102" s="1"/>
      <c r="I102" s="1"/>
    </row>
    <row r="103" spans="3:9" x14ac:dyDescent="0.35">
      <c r="C103" s="2"/>
      <c r="D103" s="2"/>
      <c r="E103" s="2"/>
      <c r="F103" s="2"/>
      <c r="G103" s="1"/>
      <c r="H103" s="1"/>
      <c r="I103" s="1"/>
    </row>
    <row r="104" spans="3:9" x14ac:dyDescent="0.35">
      <c r="C104" s="2"/>
      <c r="D104" s="2"/>
      <c r="E104" s="2"/>
      <c r="F104" s="2"/>
      <c r="G104" s="1"/>
      <c r="H104" s="1"/>
      <c r="I104" s="1"/>
    </row>
    <row r="105" spans="3:9" x14ac:dyDescent="0.35">
      <c r="C105" s="2"/>
      <c r="D105" s="2"/>
      <c r="E105" s="2"/>
      <c r="F105" s="2"/>
      <c r="G105" s="1"/>
      <c r="H105" s="1"/>
      <c r="I105" s="1"/>
    </row>
    <row r="106" spans="3:9" x14ac:dyDescent="0.35">
      <c r="C106" s="2"/>
      <c r="D106" s="2"/>
      <c r="E106" s="2"/>
      <c r="F106" s="2"/>
      <c r="G106" s="1"/>
      <c r="H106" s="1"/>
      <c r="I106" s="1"/>
    </row>
    <row r="107" spans="3:9" x14ac:dyDescent="0.35">
      <c r="C107" s="2"/>
      <c r="D107" s="2"/>
      <c r="E107" s="2"/>
      <c r="F107" s="2"/>
      <c r="G107" s="1"/>
      <c r="H107" s="1"/>
      <c r="I107" s="1"/>
    </row>
    <row r="108" spans="3:9" x14ac:dyDescent="0.35">
      <c r="C108" s="2"/>
      <c r="D108" s="2"/>
      <c r="E108" s="2"/>
      <c r="F108" s="2"/>
      <c r="G108" s="1"/>
      <c r="H108" s="1"/>
      <c r="I108" s="1"/>
    </row>
    <row r="109" spans="3:9" x14ac:dyDescent="0.35">
      <c r="C109" s="2"/>
      <c r="D109" s="2"/>
      <c r="E109" s="2"/>
      <c r="F109" s="2"/>
      <c r="G109" s="1"/>
      <c r="H109" s="1"/>
      <c r="I109" s="1"/>
    </row>
    <row r="110" spans="3:9" x14ac:dyDescent="0.35">
      <c r="C110" s="2"/>
      <c r="D110" s="2"/>
      <c r="E110" s="2"/>
      <c r="F110" s="2"/>
      <c r="G110" s="1"/>
      <c r="H110" s="1"/>
      <c r="I110" s="1"/>
    </row>
    <row r="111" spans="3:9" x14ac:dyDescent="0.35">
      <c r="C111" s="2"/>
      <c r="D111" s="2"/>
      <c r="E111" s="2"/>
      <c r="F111" s="2"/>
      <c r="G111" s="1"/>
      <c r="H111" s="1"/>
      <c r="I111" s="1"/>
    </row>
    <row r="112" spans="3:9" x14ac:dyDescent="0.35">
      <c r="C112" s="2"/>
      <c r="D112" s="2"/>
      <c r="E112" s="2"/>
      <c r="F112" s="2"/>
      <c r="G112" s="1"/>
      <c r="H112" s="1"/>
      <c r="I112" s="1"/>
    </row>
    <row r="115" spans="3:11" x14ac:dyDescent="0.35">
      <c r="C115" s="10"/>
      <c r="D115" s="10"/>
      <c r="E115" s="10"/>
      <c r="F115" s="10"/>
      <c r="G115" s="11"/>
      <c r="H115" s="11"/>
      <c r="I115" s="11"/>
      <c r="J115" s="10"/>
      <c r="K115" s="10"/>
    </row>
    <row r="116" spans="3:11" x14ac:dyDescent="0.35">
      <c r="C116" s="10"/>
      <c r="D116" s="10"/>
      <c r="E116" s="10"/>
      <c r="F116" s="10"/>
      <c r="G116" s="11"/>
      <c r="H116" s="11"/>
      <c r="I116" s="11"/>
      <c r="J116" s="10"/>
      <c r="K116" s="10"/>
    </row>
    <row r="117" spans="3:11" x14ac:dyDescent="0.35">
      <c r="C117" s="10"/>
      <c r="D117" s="10"/>
      <c r="E117" s="10"/>
      <c r="F117" s="10"/>
      <c r="G117" s="11"/>
      <c r="H117" s="11"/>
      <c r="I117" s="11"/>
      <c r="J117" s="10"/>
      <c r="K117" s="10"/>
    </row>
    <row r="118" spans="3:11" x14ac:dyDescent="0.35">
      <c r="C118" s="10"/>
      <c r="D118" s="10"/>
      <c r="E118" s="10"/>
      <c r="F118" s="10"/>
      <c r="G118" s="11"/>
      <c r="H118" s="11"/>
      <c r="I118" s="11"/>
      <c r="J118" s="10"/>
      <c r="K118" s="10"/>
    </row>
    <row r="119" spans="3:11" x14ac:dyDescent="0.35">
      <c r="C119" s="10"/>
      <c r="D119" s="10"/>
      <c r="E119" s="10"/>
      <c r="F119" s="10"/>
      <c r="G119" s="11"/>
      <c r="H119" s="11"/>
      <c r="I119" s="11"/>
      <c r="J119" s="10"/>
      <c r="K119" s="10"/>
    </row>
    <row r="120" spans="3:11" x14ac:dyDescent="0.35">
      <c r="C120" s="10"/>
      <c r="D120" s="10"/>
      <c r="E120" s="10"/>
      <c r="F120" s="10"/>
      <c r="G120" s="11"/>
      <c r="H120" s="11"/>
      <c r="I120" s="11"/>
      <c r="J120" s="10"/>
      <c r="K120" s="10"/>
    </row>
    <row r="121" spans="3:11" x14ac:dyDescent="0.35">
      <c r="C121" s="10"/>
      <c r="D121" s="10"/>
      <c r="E121" s="10"/>
      <c r="F121" s="10"/>
      <c r="G121" s="11"/>
      <c r="H121" s="11"/>
      <c r="I121" s="11"/>
      <c r="J121" s="10"/>
      <c r="K121" s="10"/>
    </row>
    <row r="122" spans="3:11" x14ac:dyDescent="0.35">
      <c r="C122" s="10"/>
      <c r="D122" s="10"/>
      <c r="E122" s="10"/>
      <c r="F122" s="10"/>
      <c r="G122" s="11"/>
      <c r="H122" s="11"/>
      <c r="I122" s="11"/>
      <c r="J122" s="10"/>
      <c r="K122" s="10"/>
    </row>
    <row r="123" spans="3:11" x14ac:dyDescent="0.35">
      <c r="C123" s="10"/>
      <c r="D123" s="10"/>
      <c r="E123" s="10"/>
      <c r="F123" s="10"/>
      <c r="G123" s="11"/>
      <c r="H123" s="11"/>
      <c r="I123" s="11"/>
      <c r="J123" s="10"/>
      <c r="K123" s="10"/>
    </row>
    <row r="124" spans="3:11" x14ac:dyDescent="0.35">
      <c r="C124" s="10"/>
      <c r="D124" s="10"/>
      <c r="E124" s="10"/>
      <c r="F124" s="10"/>
      <c r="G124" s="11"/>
      <c r="H124" s="11"/>
      <c r="I124" s="11"/>
      <c r="J124" s="10"/>
      <c r="K124" s="10"/>
    </row>
    <row r="125" spans="3:11" x14ac:dyDescent="0.35">
      <c r="C125" s="10"/>
      <c r="D125" s="10"/>
      <c r="E125" s="10"/>
      <c r="F125" s="10"/>
      <c r="G125" s="11"/>
      <c r="H125" s="11"/>
      <c r="I125" s="11"/>
      <c r="J125" s="10"/>
      <c r="K125" s="10"/>
    </row>
  </sheetData>
  <mergeCells count="24">
    <mergeCell ref="B35:B37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71:B73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2025-11-02T22:34:23Z</dcterms:modified>
</cp:coreProperties>
</file>